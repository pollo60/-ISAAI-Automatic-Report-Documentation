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rahbullinger/Library/Mobile Documents/com~apple~CloudDocs/Studium/4. Semester/INFORMATION SYSTEMS ARCHITECTURE/A + I/ISA und A+I Projekt/GitHub/-ISAAI-Automatic-Report-Documentation/docs/Documentation/"/>
    </mc:Choice>
  </mc:AlternateContent>
  <xr:revisionPtr revIDLastSave="0" documentId="8_{B336CCFA-848A-5943-A016-C047BD7F1DAB}" xr6:coauthVersionLast="47" xr6:coauthVersionMax="47" xr10:uidLastSave="{00000000-0000-0000-0000-000000000000}"/>
  <bookViews>
    <workbookView xWindow="0" yWindow="580" windowWidth="25600" windowHeight="16060" firstSheet="1" activeTab="2" xr2:uid="{00000000-000D-0000-FFFF-FFFF00000000}"/>
  </bookViews>
  <sheets>
    <sheet name="Function Point Method" sheetId="1" r:id="rId1"/>
    <sheet name="LOC &amp; COCOMO" sheetId="2" r:id="rId2"/>
    <sheet name="Cost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8" i="3"/>
  <c r="D19" i="3"/>
  <c r="D21" i="3"/>
  <c r="C19" i="3"/>
  <c r="C18" i="3"/>
  <c r="C17" i="3"/>
  <c r="C21" i="3" s="1"/>
  <c r="D10" i="3"/>
  <c r="D9" i="3"/>
  <c r="D9" i="1"/>
  <c r="B5" i="2" s="1"/>
  <c r="B7" i="2" s="1"/>
  <c r="B8" i="2" s="1"/>
  <c r="C12" i="2" s="1"/>
  <c r="D8" i="1"/>
  <c r="D7" i="1"/>
  <c r="D6" i="1"/>
  <c r="D5" i="1"/>
  <c r="D4" i="1"/>
  <c r="C15" i="2" l="1"/>
  <c r="B5" i="3" s="1"/>
  <c r="C13" i="2"/>
  <c r="C14" i="2" s="1"/>
  <c r="E10" i="3" l="1"/>
  <c r="H10" i="3" s="1"/>
  <c r="E9" i="3"/>
  <c r="H9" i="3" s="1"/>
  <c r="F9" i="3" l="1"/>
  <c r="F10" i="3"/>
</calcChain>
</file>

<file path=xl/sharedStrings.xml><?xml version="1.0" encoding="utf-8"?>
<sst xmlns="http://schemas.openxmlformats.org/spreadsheetml/2006/main" count="70" uniqueCount="64">
  <si>
    <t>Function Point Method</t>
  </si>
  <si>
    <t>Type</t>
  </si>
  <si>
    <t>Factor</t>
  </si>
  <si>
    <t>Number</t>
  </si>
  <si>
    <t>Function Points</t>
  </si>
  <si>
    <t>Inputs (EI)</t>
  </si>
  <si>
    <t>Outputs (EO)</t>
  </si>
  <si>
    <t>Queries (EQ)</t>
  </si>
  <si>
    <t>Internal files (ILF)</t>
  </si>
  <si>
    <t>External files (EIF)</t>
  </si>
  <si>
    <t>Total Function Points</t>
  </si>
  <si>
    <t>Method: Unadjusted Function Points. Each component count is multiplied by its factor. The resulting total of 53 FP is used as the size basis for the LOC estimate.</t>
  </si>
  <si>
    <t>LOC &amp; COCOMO – Organic Mode</t>
  </si>
  <si>
    <t>Size Estimation</t>
  </si>
  <si>
    <t>Metric</t>
  </si>
  <si>
    <t>Value</t>
  </si>
  <si>
    <t>LOC per Function Point</t>
  </si>
  <si>
    <t>Estimated LOC</t>
  </si>
  <si>
    <t>Estimated KLOC</t>
  </si>
  <si>
    <t>COCOMO Organic Mode Calculation</t>
  </si>
  <si>
    <t>Formula / Assumption</t>
  </si>
  <si>
    <t>Result</t>
  </si>
  <si>
    <t>Unit</t>
  </si>
  <si>
    <t>Effort</t>
  </si>
  <si>
    <t>2.4 × (KLOC)^1.05</t>
  </si>
  <si>
    <t>person-months</t>
  </si>
  <si>
    <t>Development Time</t>
  </si>
  <si>
    <t>2.5 × (Effort)^0.38</t>
  </si>
  <si>
    <t>months</t>
  </si>
  <si>
    <t>Implied Team Size</t>
  </si>
  <si>
    <t>Effort ÷ Time</t>
  </si>
  <si>
    <t>FTE</t>
  </si>
  <si>
    <t>Effort Hours</t>
  </si>
  <si>
    <t>Effort × hours per person-month</t>
  </si>
  <si>
    <t>hours</t>
  </si>
  <si>
    <t>Hours per Person-Month</t>
  </si>
  <si>
    <t>Planning assumption</t>
  </si>
  <si>
    <t>Interpretation: Based on 53 Function Points and 16 LOC per Function Point, the estimated size is 848 LOC (0.848 KLOC). Basic COCOMO in Organic Mode estimates approximately 2.02 person-months of effort, 3.26 months of calendar time and an implied average team size of 0.62 FTE.</t>
  </si>
  <si>
    <t>Cost Comparison – Working Students vs. Regular Developer</t>
  </si>
  <si>
    <t>Shared Workload Assumption</t>
  </si>
  <si>
    <t>Assumption</t>
  </si>
  <si>
    <t>Total estimated effort</t>
  </si>
  <si>
    <t>Working weeks per month</t>
  </si>
  <si>
    <t>Scenario</t>
  </si>
  <si>
    <t>Employees</t>
  </si>
  <si>
    <t>Hours / Employee / Week</t>
  </si>
  <si>
    <t>Team Hours / Week</t>
  </si>
  <si>
    <t>Project Duration (Weeks)</t>
  </si>
  <si>
    <t>Project Duration (Months)</t>
  </si>
  <si>
    <t>Rate</t>
  </si>
  <si>
    <t>Working Students</t>
  </si>
  <si>
    <t>Regular Developer</t>
  </si>
  <si>
    <t>Category</t>
  </si>
  <si>
    <t>Recommended Percentage</t>
  </si>
  <si>
    <t>Project Management &amp; Coordination</t>
  </si>
  <si>
    <t>Change Management &amp; Training</t>
  </si>
  <si>
    <t>Contingency Buffer</t>
  </si>
  <si>
    <t>Estimated Cost (Student Team)</t>
  </si>
  <si>
    <t>Estimated Cost (Regular Developer)</t>
  </si>
  <si>
    <t>Notes</t>
  </si>
  <si>
    <t>These are rough estimates</t>
  </si>
  <si>
    <t>SUM</t>
  </si>
  <si>
    <t>Cost</t>
  </si>
  <si>
    <t>Developer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</si>
</sst>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#,##0;[Red]\(#,##0\);\-"/>
    <numFmt numFmtId="165" formatCode="#,##0.000;[Red]\(#,##0.000\);\-"/>
    <numFmt numFmtId="166" formatCode="#,##0.00;[Red]\(#,##0.00\);\-"/>
    <numFmt numFmtId="167" formatCode="0.00\x"/>
    <numFmt numFmtId="168" formatCode="0.0"/>
    <numFmt numFmtId="169" formatCode="\€#,##0.00"/>
    <numFmt numFmtId="170" formatCode="\€#,##0;[Red]\(\€#,##0\);\-"/>
    <numFmt numFmtId="171" formatCode="[$€-2]\ #,##0;[Red]\-[$€-2]\ #,##0"/>
    <numFmt numFmtId="172" formatCode="[$€-2]\ #,##0.0;[Red]\-[$€-2]\ #,##0.0"/>
    <numFmt numFmtId="173" formatCode="_-* #,##0.00\ [$€-407]_-;\-* #,##0.00\ [$€-407]_-;_-* &quot;-&quot;??\ [$€-407]_-;_-@_-"/>
  </numFmts>
  <fonts count="11">
    <font>
      <sz val="11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1"/>
      <color rgb="FF000000"/>
      <name val="Carlito"/>
    </font>
    <font>
      <i/>
      <sz val="11"/>
      <color rgb="FF666666"/>
      <name val="Carlito"/>
    </font>
    <font>
      <b/>
      <sz val="12"/>
      <color rgb="FFFFFFFF"/>
      <name val="Carlito"/>
    </font>
    <font>
      <sz val="11"/>
      <name val="Carlito"/>
    </font>
    <font>
      <sz val="11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EF5FB"/>
      </patternFill>
    </fill>
    <fill>
      <patternFill patternType="solid">
        <fgColor rgb="FF2F75B5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D9E2F3"/>
      </right>
      <top style="thin">
        <color rgb="FFB7C9D6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B7C9D6"/>
      </top>
      <bottom style="thin">
        <color rgb="FFD9E2F3"/>
      </bottom>
      <diagonal/>
    </border>
    <border>
      <left style="thin">
        <color rgb="FFD9E2F3"/>
      </left>
      <right style="thin">
        <color rgb="FFB7C9D6"/>
      </right>
      <top style="thin">
        <color rgb="FFB7C9D6"/>
      </top>
      <bottom style="thin">
        <color rgb="FFD9E2F3"/>
      </bottom>
      <diagonal/>
    </border>
    <border>
      <left style="thin">
        <color rgb="FFB7C9D6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B7C9D6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D9E2F3"/>
      </right>
      <top style="thin">
        <color rgb="FFD9E2F3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7C9D6"/>
      </bottom>
      <diagonal/>
    </border>
    <border>
      <left style="thin">
        <color rgb="FFD9E2F3"/>
      </left>
      <right style="thin">
        <color rgb="FFB7C9D6"/>
      </right>
      <top style="thin">
        <color rgb="FFD9E2F3"/>
      </top>
      <bottom style="thin">
        <color rgb="FFB7C9D6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0" fontId="8" fillId="0" borderId="0"/>
    <xf numFmtId="44" fontId="8" fillId="0" borderId="0" applyFont="0" applyFill="0" applyBorder="0" applyAlignment="0" applyProtection="0"/>
  </cellStyleXfs>
  <cellXfs count="42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wrapText="1"/>
    </xf>
    <xf numFmtId="164" fontId="3" fillId="0" borderId="5" xfId="1" applyNumberFormat="1" applyFont="1" applyBorder="1" applyAlignment="1">
      <alignment wrapText="1"/>
    </xf>
    <xf numFmtId="164" fontId="4" fillId="0" borderId="6" xfId="1" applyNumberFormat="1" applyFont="1" applyBorder="1" applyAlignment="1">
      <alignment wrapText="1"/>
    </xf>
    <xf numFmtId="164" fontId="5" fillId="4" borderId="9" xfId="1" applyNumberFormat="1" applyFont="1" applyFill="1" applyBorder="1" applyAlignment="1">
      <alignment wrapText="1"/>
    </xf>
    <xf numFmtId="0" fontId="0" fillId="0" borderId="4" xfId="1" applyFont="1" applyBorder="1"/>
    <xf numFmtId="164" fontId="0" fillId="0" borderId="6" xfId="1" applyNumberFormat="1" applyFont="1" applyBorder="1"/>
    <xf numFmtId="164" fontId="3" fillId="0" borderId="6" xfId="1" applyNumberFormat="1" applyFont="1" applyBorder="1"/>
    <xf numFmtId="0" fontId="0" fillId="0" borderId="7" xfId="1" applyFont="1" applyBorder="1"/>
    <xf numFmtId="165" fontId="0" fillId="0" borderId="9" xfId="1" applyNumberFormat="1" applyFont="1" applyBorder="1"/>
    <xf numFmtId="0" fontId="0" fillId="0" borderId="5" xfId="1" applyFont="1" applyBorder="1"/>
    <xf numFmtId="166" fontId="4" fillId="0" borderId="5" xfId="1" applyNumberFormat="1" applyFont="1" applyBorder="1"/>
    <xf numFmtId="0" fontId="0" fillId="0" borderId="6" xfId="1" applyFont="1" applyBorder="1"/>
    <xf numFmtId="0" fontId="0" fillId="0" borderId="8" xfId="1" applyFont="1" applyBorder="1"/>
    <xf numFmtId="166" fontId="3" fillId="0" borderId="8" xfId="1" applyNumberFormat="1" applyFont="1" applyBorder="1"/>
    <xf numFmtId="0" fontId="0" fillId="0" borderId="9" xfId="1" applyFont="1" applyBorder="1"/>
    <xf numFmtId="167" fontId="3" fillId="0" borderId="9" xfId="1" applyNumberFormat="1" applyFont="1" applyBorder="1"/>
    <xf numFmtId="164" fontId="4" fillId="0" borderId="5" xfId="1" applyNumberFormat="1" applyFont="1" applyBorder="1" applyAlignment="1">
      <alignment wrapText="1"/>
    </xf>
    <xf numFmtId="168" fontId="4" fillId="0" borderId="5" xfId="1" applyNumberFormat="1" applyFont="1" applyBorder="1" applyAlignment="1">
      <alignment wrapText="1"/>
    </xf>
    <xf numFmtId="169" fontId="3" fillId="0" borderId="5" xfId="1" applyNumberFormat="1" applyFont="1" applyBorder="1" applyAlignment="1">
      <alignment wrapText="1"/>
    </xf>
    <xf numFmtId="170" fontId="4" fillId="0" borderId="6" xfId="1" applyNumberFormat="1" applyFont="1" applyBorder="1" applyAlignment="1">
      <alignment wrapText="1"/>
    </xf>
    <xf numFmtId="0" fontId="0" fillId="0" borderId="7" xfId="1" applyFont="1" applyBorder="1" applyAlignment="1">
      <alignment wrapText="1"/>
    </xf>
    <xf numFmtId="164" fontId="3" fillId="0" borderId="8" xfId="1" applyNumberFormat="1" applyFont="1" applyBorder="1" applyAlignment="1">
      <alignment wrapText="1"/>
    </xf>
    <xf numFmtId="164" fontId="4" fillId="0" borderId="8" xfId="1" applyNumberFormat="1" applyFont="1" applyBorder="1" applyAlignment="1">
      <alignment wrapText="1"/>
    </xf>
    <xf numFmtId="168" fontId="4" fillId="0" borderId="8" xfId="1" applyNumberFormat="1" applyFont="1" applyBorder="1" applyAlignment="1">
      <alignment wrapText="1"/>
    </xf>
    <xf numFmtId="171" fontId="3" fillId="0" borderId="8" xfId="2" applyNumberFormat="1" applyFont="1" applyBorder="1" applyAlignment="1">
      <alignment wrapText="1"/>
    </xf>
    <xf numFmtId="172" fontId="0" fillId="0" borderId="0" xfId="0" applyNumberFormat="1"/>
    <xf numFmtId="0" fontId="10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9" fontId="10" fillId="0" borderId="10" xfId="0" applyNumberFormat="1" applyFont="1" applyBorder="1" applyAlignment="1">
      <alignment vertical="center" wrapText="1"/>
    </xf>
    <xf numFmtId="3" fontId="10" fillId="0" borderId="10" xfId="0" applyNumberFormat="1" applyFont="1" applyBorder="1" applyAlignment="1">
      <alignment vertical="center" wrapText="1"/>
    </xf>
    <xf numFmtId="4" fontId="10" fillId="0" borderId="10" xfId="0" applyNumberFormat="1" applyFont="1" applyBorder="1" applyAlignment="1">
      <alignment vertical="center" wrapText="1"/>
    </xf>
    <xf numFmtId="173" fontId="10" fillId="0" borderId="10" xfId="0" applyNumberFormat="1" applyFont="1" applyBorder="1" applyAlignment="1">
      <alignment vertical="center" wrapText="1"/>
    </xf>
    <xf numFmtId="44" fontId="10" fillId="0" borderId="10" xfId="2" applyFont="1" applyBorder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7" fillId="6" borderId="0" xfId="1" applyFont="1" applyFill="1" applyAlignment="1">
      <alignment horizontal="left" vertical="center"/>
    </xf>
    <xf numFmtId="0" fontId="2" fillId="4" borderId="7" xfId="1" applyFont="1" applyFill="1" applyBorder="1" applyAlignment="1">
      <alignment wrapText="1"/>
    </xf>
    <xf numFmtId="164" fontId="2" fillId="4" borderId="8" xfId="1" applyNumberFormat="1" applyFont="1" applyFill="1" applyBorder="1" applyAlignment="1">
      <alignment wrapText="1"/>
    </xf>
    <xf numFmtId="0" fontId="6" fillId="5" borderId="0" xfId="1" applyFont="1" applyFill="1" applyAlignment="1">
      <alignment vertical="top" wrapText="1"/>
    </xf>
  </cellXfs>
  <cellStyles count="3">
    <cellStyle name="Normal" xfId="1" xr:uid="{00000000-0005-0000-0000-000000000000}"/>
    <cellStyle name="Standard" xfId="0" builtinId="0"/>
    <cellStyle name="Währung" xfId="2" builtinId="4"/>
  </cellStyles>
  <dxfs count="2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Total</a:t>
            </a:r>
            <a:r>
              <a:rPr lang="de-DE" baseline="0"/>
              <a:t> Cost by Staffing Model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'Cost Comparison'!$C$21:$D$21</c:f>
              <c:numCache>
                <c:formatCode>_("€"* #,##0.00_);_("€"* \(#,##0.00\);_("€"* "-"??_);_(@_)</c:formatCode>
                <c:ptCount val="2"/>
                <c:pt idx="0" formatCode="_-* #,##0.00\ [$€-407]_-;\-* #,##0.00\ [$€-407]_-;_-* &quot;-&quot;??\ [$€-407]_-;_-@_-">
                  <c:v>8603.4809999999998</c:v>
                </c:pt>
                <c:pt idx="1">
                  <c:v>18703.305175000001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7-474C-AAB5-957D4D17A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898559"/>
        <c:axId val="1717939087"/>
      </c:barChart>
      <c:catAx>
        <c:axId val="1724898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7939087"/>
        <c:crosses val="autoZero"/>
        <c:auto val="1"/>
        <c:lblAlgn val="ctr"/>
        <c:lblOffset val="100"/>
        <c:noMultiLvlLbl val="0"/>
      </c:catAx>
      <c:valAx>
        <c:axId val="171793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7]_-;\-* #,##0.00\ [$€-407]_-;_-* &quot;-&quot;??\ [$€-407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489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61953</xdr:colOff>
      <xdr:row>22</xdr:row>
      <xdr:rowOff>149404</xdr:rowOff>
    </xdr:from>
    <xdr:to>
      <xdr:col>3</xdr:col>
      <xdr:colOff>1506090</xdr:colOff>
      <xdr:row>41</xdr:row>
      <xdr:rowOff>28223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BA7E3CC-5CD4-7E45-413B-B19C5DF4C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D1"/>
    </sheetView>
  </sheetViews>
  <sheetFormatPr baseColWidth="10" defaultColWidth="8.83203125" defaultRowHeight="14"/>
  <cols>
    <col min="1" max="1" width="26" customWidth="1"/>
    <col min="2" max="4" width="16" customWidth="1"/>
  </cols>
  <sheetData>
    <row r="1" spans="1:4" ht="40" customHeight="1">
      <c r="A1" s="37" t="s">
        <v>0</v>
      </c>
      <c r="B1" s="37"/>
      <c r="C1" s="37"/>
      <c r="D1" s="37"/>
    </row>
    <row r="3" spans="1:4" ht="16">
      <c r="A3" s="1" t="s">
        <v>1</v>
      </c>
      <c r="B3" s="2" t="s">
        <v>2</v>
      </c>
      <c r="C3" s="2" t="s">
        <v>3</v>
      </c>
      <c r="D3" s="3" t="s">
        <v>4</v>
      </c>
    </row>
    <row r="4" spans="1:4" ht="15">
      <c r="A4" s="4" t="s">
        <v>5</v>
      </c>
      <c r="B4" s="5">
        <v>4</v>
      </c>
      <c r="C4" s="5">
        <v>1</v>
      </c>
      <c r="D4" s="6">
        <f>B4*C4</f>
        <v>4</v>
      </c>
    </row>
    <row r="5" spans="1:4" ht="15">
      <c r="A5" s="4" t="s">
        <v>6</v>
      </c>
      <c r="B5" s="5">
        <v>5</v>
      </c>
      <c r="C5" s="5">
        <v>7</v>
      </c>
      <c r="D5" s="6">
        <f>B5*C5</f>
        <v>35</v>
      </c>
    </row>
    <row r="6" spans="1:4" ht="15">
      <c r="A6" s="4" t="s">
        <v>7</v>
      </c>
      <c r="B6" s="5">
        <v>4</v>
      </c>
      <c r="C6" s="5">
        <v>0</v>
      </c>
      <c r="D6" s="6">
        <f>B6*C6</f>
        <v>0</v>
      </c>
    </row>
    <row r="7" spans="1:4" ht="15">
      <c r="A7" s="4" t="s">
        <v>8</v>
      </c>
      <c r="B7" s="5">
        <v>10</v>
      </c>
      <c r="C7" s="5">
        <v>0</v>
      </c>
      <c r="D7" s="6">
        <f>B7*C7</f>
        <v>0</v>
      </c>
    </row>
    <row r="8" spans="1:4" ht="15">
      <c r="A8" s="4" t="s">
        <v>9</v>
      </c>
      <c r="B8" s="5">
        <v>7</v>
      </c>
      <c r="C8" s="5">
        <v>2</v>
      </c>
      <c r="D8" s="6">
        <f>B8*C8</f>
        <v>14</v>
      </c>
    </row>
    <row r="9" spans="1:4" ht="15">
      <c r="A9" s="39" t="s">
        <v>10</v>
      </c>
      <c r="B9" s="40"/>
      <c r="C9" s="40"/>
      <c r="D9" s="7">
        <f>SUM(D4:D8)</f>
        <v>53</v>
      </c>
    </row>
    <row r="11" spans="1:4">
      <c r="A11" s="41" t="s">
        <v>11</v>
      </c>
      <c r="B11" s="41"/>
      <c r="C11" s="41"/>
      <c r="D11" s="41"/>
    </row>
    <row r="12" spans="1:4">
      <c r="A12" s="41"/>
      <c r="B12" s="41"/>
      <c r="C12" s="41"/>
      <c r="D12" s="41"/>
    </row>
    <row r="13" spans="1:4">
      <c r="A13" s="41"/>
      <c r="B13" s="41"/>
      <c r="C13" s="41"/>
      <c r="D13" s="41"/>
    </row>
  </sheetData>
  <mergeCells count="3">
    <mergeCell ref="A1:D1"/>
    <mergeCell ref="A9:C9"/>
    <mergeCell ref="A11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A5" workbookViewId="0">
      <selection activeCell="A18" sqref="A18:D21"/>
    </sheetView>
  </sheetViews>
  <sheetFormatPr baseColWidth="10" defaultColWidth="8.83203125" defaultRowHeight="14"/>
  <cols>
    <col min="1" max="1" width="27" customWidth="1"/>
    <col min="2" max="2" width="30" customWidth="1"/>
    <col min="3" max="3" width="16" customWidth="1"/>
    <col min="4" max="4" width="18" customWidth="1"/>
  </cols>
  <sheetData>
    <row r="1" spans="1:4" ht="40" customHeight="1">
      <c r="A1" s="37" t="s">
        <v>12</v>
      </c>
      <c r="B1" s="37"/>
      <c r="C1" s="37"/>
      <c r="D1" s="37"/>
    </row>
    <row r="3" spans="1:4" ht="16">
      <c r="A3" s="38" t="s">
        <v>13</v>
      </c>
      <c r="B3" s="38"/>
      <c r="C3" s="38"/>
      <c r="D3" s="38"/>
    </row>
    <row r="4" spans="1:4" ht="16">
      <c r="A4" s="1" t="s">
        <v>14</v>
      </c>
      <c r="B4" s="3" t="s">
        <v>15</v>
      </c>
    </row>
    <row r="5" spans="1:4">
      <c r="A5" s="8" t="s">
        <v>4</v>
      </c>
      <c r="B5" s="9">
        <f>'Function Point Method'!D9</f>
        <v>53</v>
      </c>
    </row>
    <row r="6" spans="1:4">
      <c r="A6" s="8" t="s">
        <v>16</v>
      </c>
      <c r="B6" s="10">
        <v>16</v>
      </c>
    </row>
    <row r="7" spans="1:4">
      <c r="A7" s="8" t="s">
        <v>17</v>
      </c>
      <c r="B7" s="9">
        <f>B5*B6</f>
        <v>848</v>
      </c>
    </row>
    <row r="8" spans="1:4">
      <c r="A8" s="11" t="s">
        <v>18</v>
      </c>
      <c r="B8" s="12">
        <f>B7/1000</f>
        <v>0.84799999999999998</v>
      </c>
    </row>
    <row r="10" spans="1:4" ht="16">
      <c r="A10" s="38" t="s">
        <v>19</v>
      </c>
      <c r="B10" s="38"/>
      <c r="C10" s="38"/>
      <c r="D10" s="38"/>
    </row>
    <row r="11" spans="1:4" ht="16">
      <c r="A11" s="1" t="s">
        <v>14</v>
      </c>
      <c r="B11" s="2" t="s">
        <v>20</v>
      </c>
      <c r="C11" s="2" t="s">
        <v>21</v>
      </c>
      <c r="D11" s="3" t="s">
        <v>22</v>
      </c>
    </row>
    <row r="12" spans="1:4">
      <c r="A12" s="8" t="s">
        <v>23</v>
      </c>
      <c r="B12" s="13" t="s">
        <v>24</v>
      </c>
      <c r="C12" s="14">
        <f>2.4*(B8^1.05)</f>
        <v>2.0184913218680727</v>
      </c>
      <c r="D12" s="15" t="s">
        <v>25</v>
      </c>
    </row>
    <row r="13" spans="1:4">
      <c r="A13" s="8" t="s">
        <v>26</v>
      </c>
      <c r="B13" s="13" t="s">
        <v>27</v>
      </c>
      <c r="C13" s="14">
        <f>2.5*(C12^0.38)</f>
        <v>3.2647522178020854</v>
      </c>
      <c r="D13" s="15" t="s">
        <v>28</v>
      </c>
    </row>
    <row r="14" spans="1:4">
      <c r="A14" s="8" t="s">
        <v>29</v>
      </c>
      <c r="B14" s="13" t="s">
        <v>30</v>
      </c>
      <c r="C14" s="14">
        <f>C12/C13</f>
        <v>0.61826784613595354</v>
      </c>
      <c r="D14" s="15" t="s">
        <v>31</v>
      </c>
    </row>
    <row r="15" spans="1:4">
      <c r="A15" s="8" t="s">
        <v>32</v>
      </c>
      <c r="B15" s="13" t="s">
        <v>33</v>
      </c>
      <c r="C15" s="14">
        <f>C12*C16</f>
        <v>322.95861149889163</v>
      </c>
      <c r="D15" s="15" t="s">
        <v>34</v>
      </c>
    </row>
    <row r="16" spans="1:4">
      <c r="A16" s="11" t="s">
        <v>35</v>
      </c>
      <c r="B16" s="16" t="s">
        <v>36</v>
      </c>
      <c r="C16" s="17">
        <v>160</v>
      </c>
      <c r="D16" s="18" t="s">
        <v>34</v>
      </c>
    </row>
    <row r="18" spans="1:4">
      <c r="A18" s="41" t="s">
        <v>37</v>
      </c>
      <c r="B18" s="41"/>
      <c r="C18" s="41"/>
      <c r="D18" s="41"/>
    </row>
    <row r="19" spans="1:4">
      <c r="A19" s="41"/>
      <c r="B19" s="41"/>
      <c r="C19" s="41"/>
      <c r="D19" s="41"/>
    </row>
    <row r="20" spans="1:4">
      <c r="A20" s="41"/>
      <c r="B20" s="41"/>
      <c r="C20" s="41"/>
      <c r="D20" s="41"/>
    </row>
    <row r="21" spans="1:4">
      <c r="A21" s="41"/>
      <c r="B21" s="41"/>
      <c r="C21" s="41"/>
      <c r="D21" s="41"/>
    </row>
  </sheetData>
  <mergeCells count="4">
    <mergeCell ref="A1:D1"/>
    <mergeCell ref="A3:D3"/>
    <mergeCell ref="A10:D10"/>
    <mergeCell ref="A18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abSelected="1" topLeftCell="A2" zoomScaleNormal="73" workbookViewId="0">
      <selection activeCell="E30" sqref="E30"/>
    </sheetView>
  </sheetViews>
  <sheetFormatPr baseColWidth="10" defaultColWidth="8.83203125" defaultRowHeight="14"/>
  <cols>
    <col min="1" max="1" width="24" customWidth="1"/>
    <col min="2" max="2" width="14" customWidth="1"/>
    <col min="3" max="3" width="18" customWidth="1"/>
    <col min="4" max="6" width="20" customWidth="1"/>
    <col min="7" max="8" width="16" customWidth="1"/>
  </cols>
  <sheetData>
    <row r="1" spans="1:8" ht="40" customHeight="1">
      <c r="A1" s="37" t="s">
        <v>38</v>
      </c>
      <c r="B1" s="37"/>
      <c r="C1" s="37"/>
      <c r="D1" s="37"/>
      <c r="E1" s="37"/>
      <c r="F1" s="37"/>
      <c r="G1" s="37"/>
      <c r="H1" s="37"/>
    </row>
    <row r="3" spans="1:8" ht="16">
      <c r="A3" s="38" t="s">
        <v>39</v>
      </c>
      <c r="B3" s="38"/>
      <c r="C3" s="38"/>
      <c r="D3" s="38"/>
      <c r="E3" s="38"/>
      <c r="F3" s="38"/>
      <c r="G3" s="38"/>
      <c r="H3" s="38"/>
    </row>
    <row r="4" spans="1:8" ht="16">
      <c r="A4" s="1" t="s">
        <v>40</v>
      </c>
      <c r="B4" s="3" t="s">
        <v>15</v>
      </c>
    </row>
    <row r="5" spans="1:8">
      <c r="A5" s="8" t="s">
        <v>41</v>
      </c>
      <c r="B5" s="9">
        <f>'LOC &amp; COCOMO'!C15</f>
        <v>322.95861149889163</v>
      </c>
    </row>
    <row r="6" spans="1:8">
      <c r="A6" s="11" t="s">
        <v>42</v>
      </c>
      <c r="B6" s="19">
        <v>4.33</v>
      </c>
    </row>
    <row r="8" spans="1:8" ht="32">
      <c r="A8" s="1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3" t="s">
        <v>62</v>
      </c>
    </row>
    <row r="9" spans="1:8" ht="15">
      <c r="A9" s="4" t="s">
        <v>50</v>
      </c>
      <c r="B9" s="5">
        <v>3</v>
      </c>
      <c r="C9" s="5">
        <v>20</v>
      </c>
      <c r="D9" s="20">
        <f>B9*C9</f>
        <v>60</v>
      </c>
      <c r="E9" s="21">
        <f>$B$5/D9</f>
        <v>5.3826435249815274</v>
      </c>
      <c r="F9" s="21">
        <f>E9/$B$6</f>
        <v>1.2431047401804913</v>
      </c>
      <c r="G9" s="22">
        <v>23</v>
      </c>
      <c r="H9" s="23">
        <f>D9*E9*G9</f>
        <v>7428.0480644745076</v>
      </c>
    </row>
    <row r="10" spans="1:8" ht="15">
      <c r="A10" s="24" t="s">
        <v>51</v>
      </c>
      <c r="B10" s="25">
        <v>1</v>
      </c>
      <c r="C10" s="25">
        <v>40</v>
      </c>
      <c r="D10" s="26">
        <f>B10*C10</f>
        <v>40</v>
      </c>
      <c r="E10" s="27">
        <f>$B$5/D10</f>
        <v>8.0739652874722907</v>
      </c>
      <c r="F10" s="27">
        <f>E10/$B$6</f>
        <v>1.8646571102707368</v>
      </c>
      <c r="G10" s="28">
        <v>50</v>
      </c>
      <c r="H10" s="29">
        <f>D10*E10*G10</f>
        <v>16147.930574944581</v>
      </c>
    </row>
    <row r="14" spans="1:8" ht="15" thickBot="1"/>
    <row r="15" spans="1:8" ht="31" thickBot="1">
      <c r="A15" s="30" t="s">
        <v>52</v>
      </c>
      <c r="B15" s="30" t="s">
        <v>53</v>
      </c>
      <c r="C15" s="30" t="s">
        <v>57</v>
      </c>
      <c r="D15" s="30" t="s">
        <v>58</v>
      </c>
      <c r="E15" s="30" t="s">
        <v>59</v>
      </c>
    </row>
    <row r="16" spans="1:8" ht="16" thickBot="1">
      <c r="A16" s="30" t="s">
        <v>63</v>
      </c>
      <c r="B16" s="30"/>
      <c r="C16" s="33">
        <v>7428</v>
      </c>
      <c r="D16" s="34">
        <v>16147.9</v>
      </c>
      <c r="E16" s="30"/>
    </row>
    <row r="17" spans="1:5" ht="31" thickBot="1">
      <c r="A17" s="30" t="s">
        <v>54</v>
      </c>
      <c r="B17" s="32">
        <v>0.15</v>
      </c>
      <c r="C17" s="31">
        <f>C16*0.15</f>
        <v>1114.2</v>
      </c>
      <c r="D17" s="31">
        <f>D16*0.15</f>
        <v>2422.1849999999999</v>
      </c>
      <c r="E17" s="31" t="s">
        <v>60</v>
      </c>
    </row>
    <row r="18" spans="1:5" ht="31" thickBot="1">
      <c r="A18" s="30" t="s">
        <v>55</v>
      </c>
      <c r="B18" s="32">
        <v>0.05</v>
      </c>
      <c r="C18" s="31">
        <f>C17*0.05</f>
        <v>55.710000000000008</v>
      </c>
      <c r="D18" s="31">
        <f>D17*0.05</f>
        <v>121.10925</v>
      </c>
      <c r="E18" s="31" t="s">
        <v>60</v>
      </c>
    </row>
    <row r="19" spans="1:5" ht="31" thickBot="1">
      <c r="A19" s="30" t="s">
        <v>56</v>
      </c>
      <c r="B19" s="32">
        <v>0.1</v>
      </c>
      <c r="C19" s="31">
        <f>C18*0.1</f>
        <v>5.5710000000000015</v>
      </c>
      <c r="D19" s="31">
        <f>D18*0.1</f>
        <v>12.110925000000002</v>
      </c>
      <c r="E19" s="31" t="s">
        <v>60</v>
      </c>
    </row>
    <row r="20" spans="1:5" ht="15" thickBot="1">
      <c r="A20" s="30"/>
      <c r="B20" s="30"/>
      <c r="C20" s="30"/>
      <c r="D20" s="30"/>
      <c r="E20" s="30"/>
    </row>
    <row r="21" spans="1:5" ht="16" thickBot="1">
      <c r="A21" s="30" t="s">
        <v>61</v>
      </c>
      <c r="B21" s="30"/>
      <c r="C21" s="35">
        <f>SUM(C16:C19)</f>
        <v>8603.4809999999998</v>
      </c>
      <c r="D21" s="36">
        <f>SUM(D16:D19)</f>
        <v>18703.305175000001</v>
      </c>
      <c r="E21" s="30"/>
    </row>
  </sheetData>
  <mergeCells count="2">
    <mergeCell ref="A1:H1"/>
    <mergeCell ref="A3:H3"/>
  </mergeCells>
  <conditionalFormatting sqref="A9:H10">
    <cfRule type="expression" dxfId="1" priority="1">
      <formula>$A9="Working Students"</formula>
    </cfRule>
    <cfRule type="expression" dxfId="0" priority="2">
      <formula>$A9="Regular Developer"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Function Point Method</vt:lpstr>
      <vt:lpstr>LOC &amp; COCOMO</vt:lpstr>
      <vt:lpstr>Cost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Sarah Bullinger</cp:lastModifiedBy>
  <dcterms:created xsi:type="dcterms:W3CDTF">2026-07-16T17:07:41Z</dcterms:created>
  <dcterms:modified xsi:type="dcterms:W3CDTF">2026-07-16T18:24:16Z</dcterms:modified>
</cp:coreProperties>
</file>