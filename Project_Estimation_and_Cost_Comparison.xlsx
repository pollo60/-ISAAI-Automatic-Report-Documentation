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Estimation" sheetId="1" r:id="rId1"/>
  </sheets>
  <calcPr calcId="124519" fullCalcOnLoad="1"/>
</workbook>
</file>

<file path=xl/sharedStrings.xml><?xml version="1.0" encoding="utf-8"?>
<sst xmlns="http://schemas.openxmlformats.org/spreadsheetml/2006/main" count="65" uniqueCount="58">
  <si>
    <t>Software Project Estimation &amp; Cost Comparison</t>
  </si>
  <si>
    <t>Based on Function Point Method, COCOMO Organic Mode, and Cost Analysis</t>
  </si>
  <si>
    <t>1. Function Point Method (FPA)</t>
  </si>
  <si>
    <t>Type</t>
  </si>
  <si>
    <t>Factor</t>
  </si>
  <si>
    <t>Number</t>
  </si>
  <si>
    <t>FP</t>
  </si>
  <si>
    <t>Inputs (EI)</t>
  </si>
  <si>
    <t>Outputs (EO)</t>
  </si>
  <si>
    <t>Queries (EQ)</t>
  </si>
  <si>
    <t>Internal files (ILF)</t>
  </si>
  <si>
    <t>External files (EIF)</t>
  </si>
  <si>
    <t>Sum</t>
  </si>
  <si>
    <t>2. LOC &amp; COCOMO Estimation</t>
  </si>
  <si>
    <t>Parameter</t>
  </si>
  <si>
    <t>Value</t>
  </si>
  <si>
    <t>Unit</t>
  </si>
  <si>
    <t>Formula / Description</t>
  </si>
  <si>
    <t>LOC per FP (Power Automate)</t>
  </si>
  <si>
    <t>LOC</t>
  </si>
  <si>
    <t>Given Estimation</t>
  </si>
  <si>
    <t>Total FP</t>
  </si>
  <si>
    <t>From FPA Table</t>
  </si>
  <si>
    <t>Total LOC</t>
  </si>
  <si>
    <t>LOC per FP * Total FP</t>
  </si>
  <si>
    <t>Total KLOC</t>
  </si>
  <si>
    <t>KLOC</t>
  </si>
  <si>
    <t>Total LOC / 1000</t>
  </si>
  <si>
    <t>Effort</t>
  </si>
  <si>
    <t>Person-Months</t>
  </si>
  <si>
    <t>2.4 * (KLOC)^1.05 (Organic Mode)</t>
  </si>
  <si>
    <t>Time (Project Duration)</t>
  </si>
  <si>
    <t>Months</t>
  </si>
  <si>
    <t>2.5 * (Effort)^0.38</t>
  </si>
  <si>
    <t>Implied Team Size</t>
  </si>
  <si>
    <t>FTE</t>
  </si>
  <si>
    <t>Effort / Time</t>
  </si>
  <si>
    <t>Total Required Hours</t>
  </si>
  <si>
    <t>Hours</t>
  </si>
  <si>
    <t>Effort * 160 hours/month</t>
  </si>
  <si>
    <t>3. Cost Comparison</t>
  </si>
  <si>
    <t>Working Students vs. Regular Developer</t>
  </si>
  <si>
    <t>Working Students (Actual Team)</t>
  </si>
  <si>
    <t>Regular Developer</t>
  </si>
  <si>
    <t>Team Size</t>
  </si>
  <si>
    <t>Persons</t>
  </si>
  <si>
    <t>Hourly Rate / Equivalent</t>
  </si>
  <si>
    <t>€/h</t>
  </si>
  <si>
    <t>Project Duration</t>
  </si>
  <si>
    <t>Avg. Hours / Week / Person</t>
  </si>
  <si>
    <t>Hours/Week</t>
  </si>
  <si>
    <t>Total Cost</t>
  </si>
  <si>
    <t>€</t>
  </si>
  <si>
    <t>Note on Working Students:</t>
  </si>
  <si>
    <t>The project was already successfully completed with a team of 3 working students.</t>
  </si>
  <si>
    <t>The calculated workload of approx. 7.7 hours per week per student fits perfectly within</t>
  </si>
  <si>
    <t>the maximum allowed 20 hours per week for working students, demonstrating the feasibility</t>
  </si>
  <si>
    <t>and efficiency of this setup.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</si>
</sst>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 €"/>
  </numFmts>
  <fonts count="5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97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1" fontId="0" fillId="0" borderId="2" xfId="0" applyNumberFormat="1" applyBorder="1" applyAlignment="1">
      <alignment horizontal="right"/>
    </xf>
    <xf numFmtId="0" fontId="3" fillId="3" borderId="2" xfId="0" applyFont="1" applyFill="1" applyBorder="1"/>
    <xf numFmtId="1" fontId="3" fillId="3" borderId="2" xfId="0" applyNumberFormat="1" applyFont="1" applyFill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width="35.7109375" customWidth="1"/>
    <col min="2" max="4" width="18.7109375" customWidth="1"/>
    <col min="5" max="5" width="45.7109375" customWidth="1"/>
  </cols>
  <sheetData>
    <row r="1" spans="1:4">
      <c r="A1" s="1" t="s">
        <v>0</v>
      </c>
    </row>
    <row r="2" spans="1:4">
      <c r="A2" s="2" t="s">
        <v>1</v>
      </c>
    </row>
    <row r="5" spans="1:4">
      <c r="A5" s="3" t="s">
        <v>2</v>
      </c>
    </row>
    <row r="6" spans="1:4">
      <c r="A6" s="4" t="s">
        <v>3</v>
      </c>
      <c r="B6" s="4" t="s">
        <v>4</v>
      </c>
      <c r="C6" s="4" t="s">
        <v>5</v>
      </c>
      <c r="D6" s="4" t="s">
        <v>6</v>
      </c>
    </row>
    <row r="7" spans="1:4">
      <c r="A7" s="5" t="s">
        <v>7</v>
      </c>
      <c r="B7" s="6">
        <v>4</v>
      </c>
      <c r="C7" s="6">
        <v>1</v>
      </c>
      <c r="D7" s="6">
        <v>4</v>
      </c>
    </row>
    <row r="8" spans="1:4">
      <c r="A8" s="5" t="s">
        <v>8</v>
      </c>
      <c r="B8" s="6">
        <v>5</v>
      </c>
      <c r="C8" s="6">
        <v>7</v>
      </c>
      <c r="D8" s="6">
        <v>35</v>
      </c>
    </row>
    <row r="9" spans="1:4">
      <c r="A9" s="5" t="s">
        <v>9</v>
      </c>
      <c r="B9" s="6">
        <v>4</v>
      </c>
      <c r="C9" s="6">
        <v>0</v>
      </c>
      <c r="D9" s="6">
        <v>0</v>
      </c>
    </row>
    <row r="10" spans="1:4">
      <c r="A10" s="5" t="s">
        <v>10</v>
      </c>
      <c r="B10" s="6">
        <v>10</v>
      </c>
      <c r="C10" s="6">
        <v>0</v>
      </c>
      <c r="D10" s="6">
        <v>0</v>
      </c>
    </row>
    <row r="11" spans="1:4">
      <c r="A11" s="5" t="s">
        <v>11</v>
      </c>
      <c r="B11" s="6">
        <v>7</v>
      </c>
      <c r="C11" s="6">
        <v>2</v>
      </c>
      <c r="D11" s="6">
        <v>14</v>
      </c>
    </row>
    <row r="12" spans="1:4">
      <c r="A12" s="7" t="s">
        <v>12</v>
      </c>
      <c r="B12" s="7"/>
      <c r="C12" s="7"/>
      <c r="D12" s="8">
        <f>SUM(D7:D11)</f>
        <v>0</v>
      </c>
    </row>
    <row r="16" spans="1:4">
      <c r="A16" s="3" t="s">
        <v>13</v>
      </c>
    </row>
    <row r="17" spans="1:4">
      <c r="A17" s="4" t="s">
        <v>14</v>
      </c>
      <c r="B17" s="4" t="s">
        <v>15</v>
      </c>
      <c r="C17" s="4" t="s">
        <v>16</v>
      </c>
      <c r="D17" s="4" t="s">
        <v>17</v>
      </c>
    </row>
    <row r="18" spans="1:4">
      <c r="A18" s="5" t="s">
        <v>18</v>
      </c>
      <c r="B18" s="9">
        <v>16</v>
      </c>
      <c r="C18" s="5" t="s">
        <v>19</v>
      </c>
      <c r="D18" s="5" t="s">
        <v>20</v>
      </c>
    </row>
    <row r="19" spans="1:4">
      <c r="A19" s="5" t="s">
        <v>21</v>
      </c>
      <c r="B19" s="9">
        <f>D12</f>
        <v>0</v>
      </c>
      <c r="C19" s="5" t="s">
        <v>6</v>
      </c>
      <c r="D19" s="5" t="s">
        <v>22</v>
      </c>
    </row>
    <row r="20" spans="1:4">
      <c r="A20" s="5" t="s">
        <v>23</v>
      </c>
      <c r="B20" s="9">
        <f>B18*B19</f>
        <v>0</v>
      </c>
      <c r="C20" s="5" t="s">
        <v>19</v>
      </c>
      <c r="D20" s="5" t="s">
        <v>24</v>
      </c>
    </row>
    <row r="21" spans="1:4">
      <c r="A21" s="5" t="s">
        <v>25</v>
      </c>
      <c r="B21" s="9">
        <f>B20/1000</f>
        <v>0</v>
      </c>
      <c r="C21" s="5" t="s">
        <v>26</v>
      </c>
      <c r="D21" s="5" t="s">
        <v>27</v>
      </c>
    </row>
    <row r="22" spans="1:4">
      <c r="A22" s="5" t="s">
        <v>28</v>
      </c>
      <c r="B22" s="9">
        <f>2.4*(B21^1.05)</f>
        <v>0</v>
      </c>
      <c r="C22" s="5" t="s">
        <v>29</v>
      </c>
      <c r="D22" s="5" t="s">
        <v>30</v>
      </c>
    </row>
    <row r="23" spans="1:4">
      <c r="A23" s="5" t="s">
        <v>31</v>
      </c>
      <c r="B23" s="9">
        <f>2.5*(B22^0.38)</f>
        <v>0</v>
      </c>
      <c r="C23" s="5" t="s">
        <v>32</v>
      </c>
      <c r="D23" s="5" t="s">
        <v>33</v>
      </c>
    </row>
    <row r="24" spans="1:4">
      <c r="A24" s="5" t="s">
        <v>34</v>
      </c>
      <c r="B24" s="9">
        <f>B22/B23</f>
        <v>0</v>
      </c>
      <c r="C24" s="5" t="s">
        <v>35</v>
      </c>
      <c r="D24" s="5" t="s">
        <v>36</v>
      </c>
    </row>
    <row r="25" spans="1:4">
      <c r="A25" s="5" t="s">
        <v>37</v>
      </c>
      <c r="B25" s="9">
        <f>B22*160</f>
        <v>0</v>
      </c>
      <c r="C25" s="5" t="s">
        <v>38</v>
      </c>
      <c r="D25" s="5" t="s">
        <v>39</v>
      </c>
    </row>
    <row r="29" spans="1:4">
      <c r="A29" s="3" t="s">
        <v>40</v>
      </c>
      <c r="B29" s="2" t="s">
        <v>41</v>
      </c>
    </row>
    <row r="30" spans="1:4">
      <c r="A30" s="4" t="s">
        <v>14</v>
      </c>
      <c r="B30" s="4" t="s">
        <v>42</v>
      </c>
      <c r="C30" s="4" t="s">
        <v>43</v>
      </c>
      <c r="D30" s="4" t="s">
        <v>16</v>
      </c>
    </row>
    <row r="31" spans="1:4">
      <c r="A31" s="5" t="s">
        <v>44</v>
      </c>
      <c r="B31" s="6">
        <v>3</v>
      </c>
      <c r="C31" s="6">
        <v>1</v>
      </c>
      <c r="D31" s="5" t="s">
        <v>45</v>
      </c>
    </row>
    <row r="32" spans="1:4">
      <c r="A32" s="5" t="s">
        <v>46</v>
      </c>
      <c r="B32" s="10">
        <v>23</v>
      </c>
      <c r="C32" s="10">
        <f>400/8</f>
        <v>0</v>
      </c>
      <c r="D32" s="5" t="s">
        <v>47</v>
      </c>
    </row>
    <row r="33" spans="1:4">
      <c r="A33" s="5" t="s">
        <v>37</v>
      </c>
      <c r="B33" s="9">
        <f>B25</f>
        <v>0</v>
      </c>
      <c r="C33" s="9">
        <f>B25</f>
        <v>0</v>
      </c>
      <c r="D33" s="5" t="s">
        <v>38</v>
      </c>
    </row>
    <row r="34" spans="1:4">
      <c r="A34" s="5" t="s">
        <v>48</v>
      </c>
      <c r="B34" s="9">
        <f>B23</f>
        <v>0</v>
      </c>
      <c r="C34" s="9">
        <f>C33/(160*C31)</f>
        <v>0</v>
      </c>
      <c r="D34" s="5" t="s">
        <v>32</v>
      </c>
    </row>
    <row r="35" spans="1:4">
      <c r="A35" s="5" t="s">
        <v>49</v>
      </c>
      <c r="B35" s="9">
        <f>B33/(B34*4.33*B31)</f>
        <v>0</v>
      </c>
      <c r="C35" s="9">
        <f>C33/(C34*4.33*C31)</f>
        <v>0</v>
      </c>
      <c r="D35" s="5" t="s">
        <v>50</v>
      </c>
    </row>
    <row r="36" spans="1:4">
      <c r="A36" s="5" t="s">
        <v>51</v>
      </c>
      <c r="B36" s="10">
        <f>B32*B33</f>
        <v>0</v>
      </c>
      <c r="C36" s="10">
        <f>C32*C33</f>
        <v>0</v>
      </c>
      <c r="D36" s="5" t="s">
        <v>52</v>
      </c>
    </row>
    <row r="39" spans="1:4">
      <c r="A39" s="3" t="s">
        <v>53</v>
      </c>
    </row>
    <row r="40" spans="1:4">
      <c r="A40" t="s">
        <v>54</v>
      </c>
    </row>
    <row r="41" spans="1:4">
      <c r="A41" t="s">
        <v>55</v>
      </c>
    </row>
    <row r="42" spans="1:4">
      <c r="A42" t="s">
        <v>56</v>
      </c>
    </row>
    <row r="43" spans="1:4">
      <c r="A4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Estimation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2026-07-16T17:13:11Z</dcterms:created>
  <dcterms:modified xsi:type="dcterms:W3CDTF">2026-07-16T17:13:11Z</dcterms:modified>
</cp:coreProperties>
</file>